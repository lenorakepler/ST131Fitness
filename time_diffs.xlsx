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orakepler/Dropbox/NCSU/Lab/iMac/ST131Fitness Full April 2025/"/>
    </mc:Choice>
  </mc:AlternateContent>
  <xr:revisionPtr revIDLastSave="0" documentId="13_ncr:1_{BD558220-A5EE-EC46-8953-1E904F4347C4}" xr6:coauthVersionLast="47" xr6:coauthVersionMax="47" xr10:uidLastSave="{00000000-0000-0000-0000-000000000000}"/>
  <bookViews>
    <workbookView xWindow="1100" yWindow="820" windowWidth="28040" windowHeight="17440" xr2:uid="{6655B76B-3878-6A4A-BABF-584DD8932D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K19" i="1"/>
  <c r="K17" i="1"/>
  <c r="K13" i="1"/>
  <c r="K12" i="1"/>
  <c r="K16" i="1"/>
  <c r="K11" i="1"/>
  <c r="K10" i="1"/>
  <c r="K15" i="1"/>
  <c r="K14" i="1"/>
  <c r="K9" i="1"/>
  <c r="K8" i="1"/>
  <c r="K7" i="1"/>
  <c r="K3" i="1"/>
  <c r="K4" i="1"/>
  <c r="K5" i="1"/>
  <c r="K6" i="1"/>
  <c r="K2" i="1"/>
</calcChain>
</file>

<file path=xl/sharedStrings.xml><?xml version="1.0" encoding="utf-8"?>
<sst xmlns="http://schemas.openxmlformats.org/spreadsheetml/2006/main" count="22" uniqueCount="21">
  <si>
    <t>function</t>
  </si>
  <si>
    <t>test_param_fold</t>
  </si>
  <si>
    <t>do_train_test</t>
  </si>
  <si>
    <t>fit_score</t>
  </si>
  <si>
    <t>doOpt</t>
  </si>
  <si>
    <t>old_total</t>
  </si>
  <si>
    <t>new_total</t>
  </si>
  <si>
    <t>mag_diff</t>
  </si>
  <si>
    <t>GradientTape.gradient</t>
  </si>
  <si>
    <t>L1_1</t>
  </si>
  <si>
    <t>loss.call_</t>
  </si>
  <si>
    <t>calcPEs</t>
  </si>
  <si>
    <t>calcIterativePEs</t>
  </si>
  <si>
    <t>error_handler</t>
  </si>
  <si>
    <t>safedivide (phylo_loss:215)</t>
  </si>
  <si>
    <t>wrapper</t>
  </si>
  <si>
    <t>neg</t>
  </si>
  <si>
    <t>self</t>
  </si>
  <si>
    <t>Nadam.apply_gradients</t>
  </si>
  <si>
    <t>BSS.init</t>
  </si>
  <si>
    <t>BSS.new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</si>
</sst>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7D9E-57FE-F64B-837D-186B77B5264C}">
  <dimension ref="A1:K19"/>
  <sheetViews>
    <sheetView tabSelected="1" workbookViewId="0">
      <selection activeCell="I15" sqref="I15"/>
    </sheetView>
  </sheetViews>
  <sheetFormatPr baseColWidth="10" defaultRowHeight="16" x14ac:dyDescent="0.2"/>
  <cols>
    <col min="1" max="1" width="14.1640625" customWidth="1"/>
    <col min="2" max="2" width="11.6640625" customWidth="1"/>
    <col min="3" max="3" width="8" customWidth="1"/>
    <col min="4" max="4" width="8.33203125" customWidth="1"/>
    <col min="5" max="5" width="19.83203125" customWidth="1"/>
    <col min="6" max="6" width="9.1640625" customWidth="1"/>
    <col min="7" max="7" width="23.33203125" customWidth="1"/>
    <col min="8" max="8" width="16.5" customWidth="1"/>
  </cols>
  <sheetData>
    <row r="1" spans="1:11" x14ac:dyDescent="0.2">
      <c r="A1" t="s">
        <v>0</v>
      </c>
      <c r="I1" t="s">
        <v>5</v>
      </c>
      <c r="J1" t="s">
        <v>6</v>
      </c>
      <c r="K1" t="s">
        <v>7</v>
      </c>
    </row>
    <row r="2" spans="1:11" x14ac:dyDescent="0.2">
      <c r="A2" t="s">
        <v>1</v>
      </c>
      <c r="I2">
        <v>16.600999999999999</v>
      </c>
      <c r="J2">
        <v>158.36799999999999</v>
      </c>
      <c r="K2">
        <f>J2/I2</f>
        <v>9.5396662851635448</v>
      </c>
    </row>
    <row r="3" spans="1:11" x14ac:dyDescent="0.2">
      <c r="B3" t="s">
        <v>2</v>
      </c>
      <c r="I3">
        <v>15.688000000000001</v>
      </c>
      <c r="J3">
        <v>156.14400000000001</v>
      </c>
      <c r="K3">
        <f t="shared" ref="K3:K14" si="0">J3/I3</f>
        <v>9.9530851606323303</v>
      </c>
    </row>
    <row r="4" spans="1:11" x14ac:dyDescent="0.2">
      <c r="C4" t="s">
        <v>3</v>
      </c>
      <c r="I4">
        <v>4.7009999999999996</v>
      </c>
      <c r="J4">
        <v>142.93</v>
      </c>
      <c r="K4">
        <f t="shared" si="0"/>
        <v>30.404169325675394</v>
      </c>
    </row>
    <row r="5" spans="1:11" x14ac:dyDescent="0.2">
      <c r="D5" t="s">
        <v>4</v>
      </c>
      <c r="I5">
        <v>3.4020000000000001</v>
      </c>
      <c r="J5">
        <v>140.72900000000001</v>
      </c>
      <c r="K5">
        <f t="shared" si="0"/>
        <v>41.366549088771315</v>
      </c>
    </row>
    <row r="6" spans="1:11" x14ac:dyDescent="0.2">
      <c r="E6" t="s">
        <v>8</v>
      </c>
      <c r="I6">
        <v>1.726</v>
      </c>
      <c r="J6">
        <v>61.853999999999999</v>
      </c>
      <c r="K6">
        <f t="shared" si="0"/>
        <v>35.836616454229436</v>
      </c>
    </row>
    <row r="7" spans="1:11" x14ac:dyDescent="0.2">
      <c r="E7" t="s">
        <v>9</v>
      </c>
      <c r="I7">
        <v>0.83899999999999997</v>
      </c>
      <c r="J7">
        <v>75.2</v>
      </c>
      <c r="K7">
        <f t="shared" si="0"/>
        <v>89.630512514898697</v>
      </c>
    </row>
    <row r="8" spans="1:11" x14ac:dyDescent="0.2">
      <c r="F8" s="1" t="s">
        <v>10</v>
      </c>
      <c r="G8" s="1"/>
      <c r="H8" s="1"/>
      <c r="I8" s="1">
        <v>0.82899999999999996</v>
      </c>
      <c r="J8" s="1">
        <v>75.058000000000007</v>
      </c>
      <c r="K8" s="1">
        <f t="shared" si="0"/>
        <v>90.540410132689999</v>
      </c>
    </row>
    <row r="9" spans="1:11" x14ac:dyDescent="0.2">
      <c r="F9" t="s">
        <v>11</v>
      </c>
      <c r="I9">
        <v>0.82099999999999995</v>
      </c>
      <c r="J9">
        <v>30.099</v>
      </c>
      <c r="K9">
        <f t="shared" si="0"/>
        <v>36.661388550548118</v>
      </c>
    </row>
    <row r="10" spans="1:11" x14ac:dyDescent="0.2">
      <c r="G10" t="s">
        <v>13</v>
      </c>
      <c r="I10">
        <v>1E-3</v>
      </c>
      <c r="J10">
        <v>12.965999999999999</v>
      </c>
      <c r="K10">
        <f t="shared" si="0"/>
        <v>12965.999999999998</v>
      </c>
    </row>
    <row r="11" spans="1:11" x14ac:dyDescent="0.2">
      <c r="G11" t="s">
        <v>14</v>
      </c>
      <c r="I11">
        <v>1E-3</v>
      </c>
      <c r="J11">
        <v>13.321999999999999</v>
      </c>
      <c r="K11">
        <f t="shared" si="0"/>
        <v>13321.999999999998</v>
      </c>
    </row>
    <row r="12" spans="1:11" x14ac:dyDescent="0.2">
      <c r="G12" t="s">
        <v>16</v>
      </c>
      <c r="I12">
        <v>1E-3</v>
      </c>
      <c r="J12">
        <v>1.228</v>
      </c>
      <c r="K12">
        <f>J12/I12</f>
        <v>1228</v>
      </c>
    </row>
    <row r="13" spans="1:11" x14ac:dyDescent="0.2">
      <c r="G13" t="s">
        <v>17</v>
      </c>
      <c r="I13">
        <v>1E-3</v>
      </c>
      <c r="J13">
        <v>0.32400000000000001</v>
      </c>
      <c r="K13">
        <f>J13/I13</f>
        <v>324</v>
      </c>
    </row>
    <row r="14" spans="1:11" x14ac:dyDescent="0.2">
      <c r="G14" t="s">
        <v>12</v>
      </c>
      <c r="I14">
        <v>0.80900000000000005</v>
      </c>
      <c r="J14">
        <v>1.0980000000000001</v>
      </c>
      <c r="K14">
        <f>J14/I14</f>
        <v>1.3572311495673672</v>
      </c>
    </row>
    <row r="15" spans="1:11" x14ac:dyDescent="0.2">
      <c r="H15" t="s">
        <v>13</v>
      </c>
      <c r="I15">
        <v>0.625</v>
      </c>
      <c r="J15">
        <v>12.965999999999999</v>
      </c>
      <c r="K15">
        <f>J15/I15</f>
        <v>20.7456</v>
      </c>
    </row>
    <row r="16" spans="1:11" x14ac:dyDescent="0.2">
      <c r="H16" t="s">
        <v>15</v>
      </c>
      <c r="I16">
        <v>7.8E-2</v>
      </c>
      <c r="J16">
        <v>2.161</v>
      </c>
      <c r="K16">
        <f>J16/I16</f>
        <v>27.705128205128204</v>
      </c>
    </row>
    <row r="17" spans="4:11" x14ac:dyDescent="0.2">
      <c r="E17" t="s">
        <v>18</v>
      </c>
      <c r="I17">
        <v>0.10199999999999999</v>
      </c>
      <c r="J17">
        <v>0.26300000000000001</v>
      </c>
      <c r="K17">
        <f>J17/I17</f>
        <v>2.5784313725490198</v>
      </c>
    </row>
    <row r="18" spans="4:11" x14ac:dyDescent="0.2">
      <c r="D18" t="s">
        <v>19</v>
      </c>
      <c r="I18">
        <v>0.42299999999999999</v>
      </c>
      <c r="J18">
        <v>1.21</v>
      </c>
      <c r="K18">
        <f t="shared" ref="K18:K19" si="1">J18/I18</f>
        <v>2.8605200945626477</v>
      </c>
    </row>
    <row r="19" spans="4:11" x14ac:dyDescent="0.2">
      <c r="D19" t="s">
        <v>20</v>
      </c>
      <c r="I19">
        <v>0.876</v>
      </c>
      <c r="J19">
        <v>0.97499999999999998</v>
      </c>
      <c r="K19">
        <f t="shared" si="1"/>
        <v>1.1130136986301369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Lenora Kepler</dc:creator>
  <cp:lastModifiedBy>Lenora Kepler</cp:lastModifiedBy>
  <dcterms:created xsi:type="dcterms:W3CDTF">2025-12-03T18:26:10Z</dcterms:created>
  <dcterms:modified xsi:type="dcterms:W3CDTF">2025-12-04T18:41:44Z</dcterms:modified>
</cp:coreProperties>
</file>